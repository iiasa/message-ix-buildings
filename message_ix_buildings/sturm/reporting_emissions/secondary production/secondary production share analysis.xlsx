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.sharepoint.com/sites/eceprog/Shared Documents/Research Theme - Buildings/Documents/EFC/2022/EFC_analysis_2023/secondary production analysis/"/>
    </mc:Choice>
  </mc:AlternateContent>
  <xr:revisionPtr revIDLastSave="0" documentId="8_{94265EC1-C58B-4035-BE67-76796BDD9BA4}" xr6:coauthVersionLast="47" xr6:coauthVersionMax="47" xr10:uidLastSave="{00000000-0000-0000-0000-000000000000}"/>
  <bookViews>
    <workbookView xWindow="57480" yWindow="-120" windowWidth="29040" windowHeight="15840" xr2:uid="{68798A22-7EB8-4B7A-8A5A-79F68B1AD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E15" i="1" s="1"/>
  <c r="F15" i="1" s="1"/>
  <c r="G15" i="1" s="1"/>
  <c r="H15" i="1" s="1"/>
  <c r="I15" i="1" s="1"/>
  <c r="J15" i="1" s="1"/>
  <c r="K15" i="1" s="1"/>
  <c r="L17" i="1"/>
  <c r="E17" i="1" s="1"/>
  <c r="F17" i="1" s="1"/>
  <c r="G17" i="1" s="1"/>
  <c r="H17" i="1" s="1"/>
  <c r="I17" i="1" s="1"/>
  <c r="J17" i="1" s="1"/>
  <c r="K17" i="1" s="1"/>
  <c r="L19" i="1"/>
  <c r="E19" i="1" s="1"/>
  <c r="F19" i="1" s="1"/>
  <c r="G19" i="1" s="1"/>
  <c r="H19" i="1" s="1"/>
  <c r="I19" i="1" s="1"/>
  <c r="J19" i="1" s="1"/>
  <c r="K19" i="1" s="1"/>
  <c r="L14" i="1"/>
  <c r="E14" i="1" s="1"/>
  <c r="F14" i="1" s="1"/>
  <c r="G14" i="1" s="1"/>
  <c r="H14" i="1" s="1"/>
  <c r="I14" i="1" s="1"/>
  <c r="J14" i="1" s="1"/>
  <c r="K14" i="1" s="1"/>
  <c r="K12" i="1"/>
  <c r="L12" i="1" s="1"/>
  <c r="L18" i="1" s="1"/>
  <c r="E18" i="1" s="1"/>
  <c r="F18" i="1" s="1"/>
  <c r="G18" i="1" s="1"/>
  <c r="H18" i="1" s="1"/>
  <c r="I18" i="1" s="1"/>
  <c r="J18" i="1" s="1"/>
  <c r="K18" i="1" s="1"/>
  <c r="H8" i="1"/>
  <c r="I8" i="1" s="1"/>
  <c r="J8" i="1" s="1"/>
  <c r="K8" i="1" s="1"/>
  <c r="E8" i="1"/>
  <c r="F8" i="1" s="1"/>
  <c r="E9" i="1"/>
  <c r="F9" i="1" s="1"/>
  <c r="G9" i="1" s="1"/>
  <c r="H9" i="1" s="1"/>
  <c r="I9" i="1" s="1"/>
  <c r="E11" i="1"/>
  <c r="F11" i="1" s="1"/>
  <c r="G11" i="1" s="1"/>
  <c r="H11" i="1" s="1"/>
  <c r="I11" i="1" s="1"/>
  <c r="E12" i="1"/>
  <c r="F12" i="1" s="1"/>
  <c r="G12" i="1" s="1"/>
  <c r="H12" i="1" s="1"/>
  <c r="I12" i="1" s="1"/>
  <c r="E13" i="1"/>
  <c r="F13" i="1" s="1"/>
  <c r="G13" i="1" s="1"/>
  <c r="H13" i="1" s="1"/>
  <c r="I13" i="1" s="1"/>
  <c r="E10" i="1"/>
  <c r="F10" i="1" s="1"/>
  <c r="G10" i="1" s="1"/>
  <c r="H10" i="1" s="1"/>
  <c r="I10" i="1" s="1"/>
  <c r="K10" i="1" l="1"/>
  <c r="L10" i="1" s="1"/>
  <c r="L16" i="1" s="1"/>
  <c r="E16" i="1" s="1"/>
  <c r="F16" i="1" s="1"/>
  <c r="G16" i="1" s="1"/>
  <c r="H16" i="1" s="1"/>
  <c r="I16" i="1" s="1"/>
  <c r="J16" i="1" s="1"/>
  <c r="K16" i="1" s="1"/>
</calcChain>
</file>

<file path=xl/sharedStrings.xml><?xml version="1.0" encoding="utf-8"?>
<sst xmlns="http://schemas.openxmlformats.org/spreadsheetml/2006/main" count="60" uniqueCount="16">
  <si>
    <t>material</t>
  </si>
  <si>
    <t>region</t>
  </si>
  <si>
    <t>CHN</t>
  </si>
  <si>
    <t>aluminum</t>
  </si>
  <si>
    <t>concrete</t>
  </si>
  <si>
    <t>steel</t>
  </si>
  <si>
    <t>glass</t>
  </si>
  <si>
    <t>copper</t>
  </si>
  <si>
    <t>wood</t>
  </si>
  <si>
    <t>scenario_recycling</t>
  </si>
  <si>
    <t>REC_FIX</t>
  </si>
  <si>
    <t>REC_HIGH</t>
  </si>
  <si>
    <t>REC_DYN</t>
  </si>
  <si>
    <t>compared to REC_DYN</t>
  </si>
  <si>
    <t>Recycling scaler</t>
  </si>
  <si>
    <t>User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</si>
</sst>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16DF-DFC3-49A0-B7CA-F901CC481E30}">
  <dimension ref="A1:O19"/>
  <sheetViews>
    <sheetView tabSelected="1" workbookViewId="0">
      <selection activeCell="O19" sqref="O19"/>
    </sheetView>
  </sheetViews>
  <sheetFormatPr defaultRowHeight="14.75" x14ac:dyDescent="0.75"/>
  <cols>
    <col min="2" max="2" width="16.6796875" bestFit="1" customWidth="1"/>
    <col min="3" max="3" width="9.453125" bestFit="1" customWidth="1"/>
  </cols>
  <sheetData>
    <row r="1" spans="1:15" x14ac:dyDescent="0.75">
      <c r="A1" s="1" t="s">
        <v>1</v>
      </c>
      <c r="B1" s="1" t="s">
        <v>9</v>
      </c>
      <c r="C1" s="1" t="s">
        <v>0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5" x14ac:dyDescent="0.75">
      <c r="A2" t="s">
        <v>2</v>
      </c>
      <c r="B2" t="s">
        <v>10</v>
      </c>
      <c r="C2" t="s">
        <v>3</v>
      </c>
      <c r="D2">
        <v>0.16300000000000001</v>
      </c>
      <c r="E2">
        <v>0.16300000000000001</v>
      </c>
      <c r="F2">
        <v>0.16300000000000001</v>
      </c>
      <c r="G2">
        <v>0.16300000000000001</v>
      </c>
      <c r="H2">
        <v>0.16300000000000001</v>
      </c>
      <c r="I2">
        <v>0.16300000000000001</v>
      </c>
      <c r="J2">
        <v>0.16300000000000001</v>
      </c>
      <c r="K2">
        <v>0.16300000000000001</v>
      </c>
      <c r="L2">
        <v>0.16300000000000001</v>
      </c>
      <c r="N2" s="2"/>
      <c r="O2" t="s">
        <v>15</v>
      </c>
    </row>
    <row r="3" spans="1:15" x14ac:dyDescent="0.75">
      <c r="A3" t="s">
        <v>2</v>
      </c>
      <c r="B3" t="s">
        <v>10</v>
      </c>
      <c r="C3" t="s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5" x14ac:dyDescent="0.75">
      <c r="A4" t="s">
        <v>2</v>
      </c>
      <c r="B4" t="s">
        <v>10</v>
      </c>
      <c r="C4" t="s">
        <v>7</v>
      </c>
      <c r="D4">
        <v>0.32</v>
      </c>
      <c r="E4">
        <v>0.32</v>
      </c>
      <c r="F4">
        <v>0.32</v>
      </c>
      <c r="G4">
        <v>0.32</v>
      </c>
      <c r="H4">
        <v>0.32</v>
      </c>
      <c r="I4">
        <v>0.32</v>
      </c>
      <c r="J4">
        <v>0.32</v>
      </c>
      <c r="K4">
        <v>0.32</v>
      </c>
      <c r="L4">
        <v>0.32</v>
      </c>
    </row>
    <row r="5" spans="1:15" x14ac:dyDescent="0.75">
      <c r="A5" t="s">
        <v>2</v>
      </c>
      <c r="B5" t="s">
        <v>10</v>
      </c>
      <c r="C5" t="s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5" x14ac:dyDescent="0.75">
      <c r="A6" t="s">
        <v>2</v>
      </c>
      <c r="B6" t="s">
        <v>10</v>
      </c>
      <c r="C6" t="s">
        <v>5</v>
      </c>
      <c r="D6">
        <v>9.1999999999999998E-2</v>
      </c>
      <c r="E6">
        <v>9.1999999999999998E-2</v>
      </c>
      <c r="F6">
        <v>9.1999999999999998E-2</v>
      </c>
      <c r="G6">
        <v>9.1999999999999998E-2</v>
      </c>
      <c r="H6">
        <v>9.1999999999999998E-2</v>
      </c>
      <c r="I6">
        <v>9.1999999999999998E-2</v>
      </c>
      <c r="J6">
        <v>9.1999999999999998E-2</v>
      </c>
      <c r="K6">
        <v>9.1999999999999998E-2</v>
      </c>
      <c r="L6">
        <v>9.1999999999999998E-2</v>
      </c>
    </row>
    <row r="7" spans="1:15" x14ac:dyDescent="0.75">
      <c r="A7" t="s">
        <v>2</v>
      </c>
      <c r="B7" t="s">
        <v>10</v>
      </c>
      <c r="C7" t="s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5" x14ac:dyDescent="0.75">
      <c r="A8" t="s">
        <v>2</v>
      </c>
      <c r="B8" t="s">
        <v>12</v>
      </c>
      <c r="C8" t="s">
        <v>3</v>
      </c>
      <c r="D8" s="2">
        <v>0.16300000000000001</v>
      </c>
      <c r="E8">
        <f>D8+($G8-$D8)/3</f>
        <v>0.27533333333333332</v>
      </c>
      <c r="F8">
        <f>E8+($G8-$D8)/3</f>
        <v>0.38766666666666666</v>
      </c>
      <c r="G8" s="2">
        <v>0.5</v>
      </c>
      <c r="H8">
        <f>G8+($L8-$G8)/5</f>
        <v>0.54</v>
      </c>
      <c r="I8">
        <f t="shared" ref="I8:K8" si="0">H8+($L8-$G8)/5</f>
        <v>0.58000000000000007</v>
      </c>
      <c r="J8">
        <f t="shared" si="0"/>
        <v>0.62000000000000011</v>
      </c>
      <c r="K8">
        <f t="shared" si="0"/>
        <v>0.66000000000000014</v>
      </c>
      <c r="L8" s="2">
        <v>0.7</v>
      </c>
    </row>
    <row r="9" spans="1:15" x14ac:dyDescent="0.75">
      <c r="A9" t="s">
        <v>2</v>
      </c>
      <c r="B9" t="s">
        <v>12</v>
      </c>
      <c r="C9" t="s">
        <v>4</v>
      </c>
      <c r="D9" s="2">
        <v>0</v>
      </c>
      <c r="E9">
        <f t="shared" ref="E9:I9" si="1">D9+($J9-$D9)/6</f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v>0</v>
      </c>
      <c r="K9">
        <v>0</v>
      </c>
      <c r="L9">
        <v>0</v>
      </c>
    </row>
    <row r="10" spans="1:15" x14ac:dyDescent="0.75">
      <c r="A10" t="s">
        <v>2</v>
      </c>
      <c r="B10" t="s">
        <v>12</v>
      </c>
      <c r="C10" t="s">
        <v>7</v>
      </c>
      <c r="D10" s="2">
        <v>0.32</v>
      </c>
      <c r="E10">
        <f>D10+($J10-$D10)/6</f>
        <v>0.35</v>
      </c>
      <c r="F10">
        <f t="shared" ref="F10:I10" si="2">E10+($J10-$D10)/6</f>
        <v>0.38</v>
      </c>
      <c r="G10">
        <f t="shared" si="2"/>
        <v>0.41000000000000003</v>
      </c>
      <c r="H10">
        <f t="shared" si="2"/>
        <v>0.44000000000000006</v>
      </c>
      <c r="I10">
        <f t="shared" si="2"/>
        <v>0.47000000000000008</v>
      </c>
      <c r="J10" s="2">
        <v>0.5</v>
      </c>
      <c r="K10">
        <f>_xlfn.FORECAST.LINEAR(K$1,D10:J10,D$1:J$1)</f>
        <v>0.52999999999999936</v>
      </c>
      <c r="L10">
        <f>_xlfn.FORECAST.LINEAR(L$1,E10:K10,E$1:K$1)</f>
        <v>0.55999999999999872</v>
      </c>
    </row>
    <row r="11" spans="1:15" x14ac:dyDescent="0.75">
      <c r="A11" t="s">
        <v>2</v>
      </c>
      <c r="B11" t="s">
        <v>12</v>
      </c>
      <c r="C11" t="s">
        <v>6</v>
      </c>
      <c r="D11" s="2">
        <v>0</v>
      </c>
      <c r="E11">
        <f t="shared" ref="E11:I11" si="3">D11+($J11-$D11)/6</f>
        <v>0</v>
      </c>
      <c r="F11">
        <f t="shared" si="3"/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v>0</v>
      </c>
      <c r="K11">
        <v>0</v>
      </c>
      <c r="L11">
        <v>0</v>
      </c>
    </row>
    <row r="12" spans="1:15" x14ac:dyDescent="0.75">
      <c r="A12" t="s">
        <v>2</v>
      </c>
      <c r="B12" t="s">
        <v>12</v>
      </c>
      <c r="C12" t="s">
        <v>5</v>
      </c>
      <c r="D12" s="2">
        <v>9.1999999999999998E-2</v>
      </c>
      <c r="E12">
        <f t="shared" ref="E12:I12" si="4">D12+($J12-$D12)/6</f>
        <v>0.14333333333333334</v>
      </c>
      <c r="F12">
        <f t="shared" si="4"/>
        <v>0.19466666666666668</v>
      </c>
      <c r="G12">
        <f t="shared" si="4"/>
        <v>0.24600000000000002</v>
      </c>
      <c r="H12">
        <f t="shared" si="4"/>
        <v>0.29733333333333334</v>
      </c>
      <c r="I12">
        <f t="shared" si="4"/>
        <v>0.34866666666666668</v>
      </c>
      <c r="J12" s="2">
        <v>0.4</v>
      </c>
      <c r="K12">
        <f>_xlfn.FORECAST.LINEAR(K$1,D12:J12,D$1:J$1)</f>
        <v>0.4513333333333307</v>
      </c>
      <c r="L12">
        <f>_xlfn.FORECAST.LINEAR(L$1,E12:K12,E$1:K$1)</f>
        <v>0.50266666666666637</v>
      </c>
    </row>
    <row r="13" spans="1:15" x14ac:dyDescent="0.75">
      <c r="A13" t="s">
        <v>2</v>
      </c>
      <c r="B13" t="s">
        <v>12</v>
      </c>
      <c r="C13" t="s">
        <v>8</v>
      </c>
      <c r="D13" s="2">
        <v>0</v>
      </c>
      <c r="E13">
        <f t="shared" ref="E13:I13" si="5">D13+($J13-$D13)/6</f>
        <v>0</v>
      </c>
      <c r="F13">
        <f t="shared" si="5"/>
        <v>0</v>
      </c>
      <c r="G13">
        <f t="shared" si="5"/>
        <v>0</v>
      </c>
      <c r="H13">
        <f t="shared" si="5"/>
        <v>0</v>
      </c>
      <c r="I13">
        <f t="shared" si="5"/>
        <v>0</v>
      </c>
      <c r="J13">
        <v>0</v>
      </c>
      <c r="K13">
        <v>0</v>
      </c>
      <c r="L13">
        <v>0</v>
      </c>
    </row>
    <row r="14" spans="1:15" x14ac:dyDescent="0.75">
      <c r="A14" t="s">
        <v>2</v>
      </c>
      <c r="B14" t="s">
        <v>11</v>
      </c>
      <c r="C14" t="s">
        <v>3</v>
      </c>
      <c r="D14" s="2">
        <v>0.16300000000000001</v>
      </c>
      <c r="E14">
        <f>D14+($L14-$D14)/8</f>
        <v>0.25637500000000002</v>
      </c>
      <c r="F14">
        <f t="shared" ref="F14:K14" si="6">E14+($L14-$D14)/8</f>
        <v>0.34975000000000001</v>
      </c>
      <c r="G14">
        <f t="shared" si="6"/>
        <v>0.44312499999999999</v>
      </c>
      <c r="H14">
        <f t="shared" si="6"/>
        <v>0.53649999999999998</v>
      </c>
      <c r="I14">
        <f t="shared" si="6"/>
        <v>0.62987499999999996</v>
      </c>
      <c r="J14">
        <f t="shared" si="6"/>
        <v>0.72324999999999995</v>
      </c>
      <c r="K14">
        <f t="shared" si="6"/>
        <v>0.81662499999999993</v>
      </c>
      <c r="L14" s="2">
        <f>L8*$N$16</f>
        <v>0.90999999999999992</v>
      </c>
      <c r="N14" t="s">
        <v>14</v>
      </c>
    </row>
    <row r="15" spans="1:15" x14ac:dyDescent="0.75">
      <c r="A15" t="s">
        <v>2</v>
      </c>
      <c r="B15" t="s">
        <v>11</v>
      </c>
      <c r="C15" t="s">
        <v>4</v>
      </c>
      <c r="D15" s="2">
        <v>0</v>
      </c>
      <c r="E15">
        <f t="shared" ref="E15:K15" si="7">D15+($L15-$D15)/8</f>
        <v>0</v>
      </c>
      <c r="F15">
        <f t="shared" si="7"/>
        <v>0</v>
      </c>
      <c r="G15">
        <f t="shared" si="7"/>
        <v>0</v>
      </c>
      <c r="H15">
        <f t="shared" si="7"/>
        <v>0</v>
      </c>
      <c r="I15">
        <f t="shared" si="7"/>
        <v>0</v>
      </c>
      <c r="J15">
        <f t="shared" si="7"/>
        <v>0</v>
      </c>
      <c r="K15">
        <f t="shared" si="7"/>
        <v>0</v>
      </c>
      <c r="L15" s="2">
        <f>L9*$N$16</f>
        <v>0</v>
      </c>
      <c r="N15" t="s">
        <v>13</v>
      </c>
    </row>
    <row r="16" spans="1:15" x14ac:dyDescent="0.75">
      <c r="A16" t="s">
        <v>2</v>
      </c>
      <c r="B16" t="s">
        <v>11</v>
      </c>
      <c r="C16" t="s">
        <v>7</v>
      </c>
      <c r="D16" s="2">
        <v>0.32</v>
      </c>
      <c r="E16">
        <f t="shared" ref="E16:K16" si="8">D16+($L16-$D16)/8</f>
        <v>0.37099999999999977</v>
      </c>
      <c r="F16">
        <f t="shared" si="8"/>
        <v>0.42199999999999954</v>
      </c>
      <c r="G16">
        <f t="shared" si="8"/>
        <v>0.47299999999999931</v>
      </c>
      <c r="H16">
        <f t="shared" si="8"/>
        <v>0.52399999999999913</v>
      </c>
      <c r="I16">
        <f t="shared" si="8"/>
        <v>0.57499999999999896</v>
      </c>
      <c r="J16">
        <f t="shared" si="8"/>
        <v>0.62599999999999878</v>
      </c>
      <c r="K16">
        <f t="shared" si="8"/>
        <v>0.6769999999999986</v>
      </c>
      <c r="L16" s="2">
        <f>L10*$N$16</f>
        <v>0.72799999999999832</v>
      </c>
      <c r="N16" s="2">
        <v>1.3</v>
      </c>
    </row>
    <row r="17" spans="1:12" x14ac:dyDescent="0.75">
      <c r="A17" t="s">
        <v>2</v>
      </c>
      <c r="B17" t="s">
        <v>11</v>
      </c>
      <c r="C17" t="s">
        <v>6</v>
      </c>
      <c r="D17" s="2">
        <v>0</v>
      </c>
      <c r="E17">
        <f t="shared" ref="E17:K17" si="9">D17+($L17-$D17)/8</f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 t="shared" si="9"/>
        <v>0</v>
      </c>
      <c r="L17" s="2">
        <f>L11*$N$16</f>
        <v>0</v>
      </c>
    </row>
    <row r="18" spans="1:12" x14ac:dyDescent="0.75">
      <c r="A18" t="s">
        <v>2</v>
      </c>
      <c r="B18" t="s">
        <v>11</v>
      </c>
      <c r="C18" t="s">
        <v>5</v>
      </c>
      <c r="D18" s="2">
        <v>9.1999999999999998E-2</v>
      </c>
      <c r="E18">
        <f t="shared" ref="E18:K18" si="10">D18+($L18-$D18)/8</f>
        <v>0.16218333333333329</v>
      </c>
      <c r="F18">
        <f t="shared" si="10"/>
        <v>0.23236666666666658</v>
      </c>
      <c r="G18">
        <f t="shared" si="10"/>
        <v>0.30254999999999987</v>
      </c>
      <c r="H18">
        <f t="shared" si="10"/>
        <v>0.37273333333333314</v>
      </c>
      <c r="I18">
        <f t="shared" si="10"/>
        <v>0.4429166666666664</v>
      </c>
      <c r="J18">
        <f t="shared" si="10"/>
        <v>0.51309999999999967</v>
      </c>
      <c r="K18">
        <f t="shared" si="10"/>
        <v>0.58328333333333293</v>
      </c>
      <c r="L18" s="2">
        <f>L12*$N$16</f>
        <v>0.65346666666666631</v>
      </c>
    </row>
    <row r="19" spans="1:12" x14ac:dyDescent="0.75">
      <c r="A19" t="s">
        <v>2</v>
      </c>
      <c r="B19" t="s">
        <v>11</v>
      </c>
      <c r="C19" t="s">
        <v>8</v>
      </c>
      <c r="D19" s="2">
        <v>0</v>
      </c>
      <c r="E19">
        <f t="shared" ref="E19:K19" si="11">D19+($L19-$D19)/8</f>
        <v>0</v>
      </c>
      <c r="F19">
        <f t="shared" si="11"/>
        <v>0</v>
      </c>
      <c r="G19">
        <f t="shared" si="11"/>
        <v>0</v>
      </c>
      <c r="H19">
        <f t="shared" si="11"/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 s="2">
        <f>L13*$N$16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8B757-970E-4C1D-97C0-F01CA69DD8ED}"/>
</file>

<file path=customXml/itemProps2.xml><?xml version="1.0" encoding="utf-8"?>
<ds:datastoreItem xmlns:ds="http://schemas.openxmlformats.org/officeDocument/2006/customXml" ds:itemID="{33FA70AE-D6A0-4F8B-8B59-9A298A99B15F}"/>
</file>

<file path=customXml/itemProps3.xml><?xml version="1.0" encoding="utf-8"?>
<ds:datastoreItem xmlns:ds="http://schemas.openxmlformats.org/officeDocument/2006/customXml" ds:itemID="{A5BBE135-D5F9-4FA4-A53A-9B618429E9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MASTRUCCI Alessio</dc:creator>
  <cp:lastModifiedBy>MASTRUCCI Alessio</cp:lastModifiedBy>
  <dcterms:created xsi:type="dcterms:W3CDTF">2023-06-27T09:04:50Z</dcterms:created>
  <dcterms:modified xsi:type="dcterms:W3CDTF">2023-06-27T09:40:06Z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